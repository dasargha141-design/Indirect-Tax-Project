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75b6f964fd786faf/Desktop/"/>
    </mc:Choice>
  </mc:AlternateContent>
  <xr:revisionPtr revIDLastSave="27" documentId="8_{D72A1234-457E-4CCE-BE64-D724134153FE}" xr6:coauthVersionLast="47" xr6:coauthVersionMax="47" xr10:uidLastSave="{764F3D43-510B-488D-AE2A-51F61A7D178A}"/>
  <bookViews>
    <workbookView xWindow="-108" yWindow="-108" windowWidth="23256" windowHeight="12456" tabRatio="500" xr2:uid="{00000000-000D-0000-FFFF-FFFF00000000}"/>
  </bookViews>
  <sheets>
    <sheet name="GST ITC Reconciliation"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11" i="1" l="1"/>
  <c r="F9" i="1"/>
  <c r="D12" i="1"/>
  <c r="C12" i="1"/>
  <c r="E11" i="1"/>
  <c r="E10" i="1"/>
  <c r="F10" i="1" s="1"/>
  <c r="E9" i="1"/>
  <c r="E8" i="1"/>
  <c r="F8" i="1" s="1"/>
  <c r="E7" i="1"/>
  <c r="F7" i="1" s="1"/>
  <c r="E6" i="1"/>
  <c r="F6" i="1" s="1"/>
  <c r="E5" i="1"/>
  <c r="F5" i="1" s="1"/>
  <c r="E12" i="1" l="1"/>
</calcChain>
</file>

<file path=xl/sharedStrings.xml><?xml version="1.0" encoding="utf-8"?>
<sst xmlns="http://schemas.openxmlformats.org/spreadsheetml/2006/main" count="28" uniqueCount="28">
  <si>
    <t>GST Input Tax Credit (ITC) Reconciliation</t>
  </si>
  <si>
    <t>Comparing ITC claimed in GSTR-3B against ITC available as per GSTR-2B, for a sample business (April 2026)</t>
  </si>
  <si>
    <t>Vendor Name</t>
  </si>
  <si>
    <t>Invoice No.</t>
  </si>
  <si>
    <t>ITC as per GSTR-2B (Rs.)</t>
  </si>
  <si>
    <t>ITC claimed in GSTR-3B (Rs.)</t>
  </si>
  <si>
    <t>Difference (Rs.)</t>
  </si>
  <si>
    <t>Remarks</t>
  </si>
  <si>
    <t>Eastern Chemicals Pvt Ltd</t>
  </si>
  <si>
    <t>TOTAL</t>
  </si>
  <si>
    <t>What this shows:</t>
  </si>
  <si>
    <t>• Ideally, the ITC claimed in GSTR-3B should match GSTR-2B. Any difference needs to be checked and corrected.</t>
  </si>
  <si>
    <t>• GSTR-3B is the summary return where a business actually claims that ITC while paying its GST liability.</t>
  </si>
  <si>
    <t>• GSTR-2B is the auto-generated statement showing ITC available to a business based on what its vendors have uploaded/filed.</t>
  </si>
  <si>
    <t>INV/1001</t>
  </si>
  <si>
    <t>INV/1002</t>
  </si>
  <si>
    <t>INV/1003</t>
  </si>
  <si>
    <t>INV/1004</t>
  </si>
  <si>
    <t>INV/1005</t>
  </si>
  <si>
    <t>INV/1006</t>
  </si>
  <si>
    <t>INV/1007</t>
  </si>
  <si>
    <t>Dhara Industries</t>
  </si>
  <si>
    <t>Novatal Automobile Pvt Ltd</t>
  </si>
  <si>
    <t>Agarwal Jewellers</t>
  </si>
  <si>
    <t>Amit &amp; Sons Ltd</t>
  </si>
  <si>
    <t>Das Manufacturers</t>
  </si>
  <si>
    <t>Raj Electricals</t>
  </si>
  <si>
    <t>• In this example: Raj Electricals shows Rs. 4,300 claimed in excess (needs to be reversed with interest), and Eastern Chemicals' ITC of Rs. 75,500 was missed entirely and should be claimed on or before 30 November following the end of the relevant Financial Year or the date of filing Annual Return for that Financial Year, whichever is earlier.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</si>
</sst>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charset val="1"/>
    </font>
    <font>
      <b/>
      <sz val="14"/>
      <color rgb="FF1F3864"/>
      <name val="Arial"/>
      <charset val="1"/>
    </font>
    <font>
      <i/>
      <sz val="10"/>
      <color rgb="FF595959"/>
      <name val="Arial"/>
      <charset val="1"/>
    </font>
    <font>
      <b/>
      <sz val="10"/>
      <color rgb="FFFFFFFF"/>
      <name val="Arial"/>
      <charset val="1"/>
    </font>
    <font>
      <sz val="10"/>
      <name val="Arial"/>
      <charset val="1"/>
    </font>
    <font>
      <sz val="10"/>
      <color rgb="FF0000FF"/>
      <name val="Arial"/>
      <charset val="1"/>
    </font>
    <font>
      <b/>
      <sz val="10"/>
      <name val="Arial"/>
      <charset val="1"/>
    </font>
    <font>
      <b/>
      <sz val="11"/>
      <color rgb="FF1F3864"/>
      <name val="Arial"/>
      <charset val="1"/>
    </font>
    <font>
      <sz val="8"/>
      <name val="Calibri"/>
      <family val="2"/>
      <charset val="1"/>
    </font>
    <font>
      <b/>
      <sz val="11"/>
      <color rgb="FF595959"/>
      <name val="Calibri"/>
      <family val="2"/>
    </font>
    <font>
      <sz val="10"/>
      <name val="Arial"/>
      <family val="2"/>
    </font>
  </fonts>
  <fills count="5">
    <fill>
      <patternFill patternType="none"/>
    </fill>
    <fill>
      <patternFill patternType="gray125"/>
    </fill>
    <fill>
      <patternFill patternType="solid">
        <fgColor rgb="FF1F3864"/>
        <bgColor rgb="FF333333"/>
      </patternFill>
    </fill>
    <fill>
      <patternFill patternType="solid">
        <fgColor rgb="FFC6EFCE"/>
        <bgColor rgb="FFCCFFFF"/>
      </patternFill>
    </fill>
    <fill>
      <patternFill patternType="solid">
        <fgColor rgb="FFFFC7CE"/>
        <bgColor rgb="FFCCCC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3" fillId="2" borderId="1" xfId="0" applyFont="1" applyFill="1" applyBorder="1" applyAlignment="1">
      <alignment horizontal="center" vertical="center" wrapText="1"/>
    </xf>
    <xf numFmtId="0" fontId="4" fillId="0" borderId="1" xfId="0" applyFont="1" applyBorder="1" applyAlignment="1">
      <alignment horizontal="left"/>
    </xf>
    <xf numFmtId="164" fontId="5" fillId="0" borderId="1" xfId="0" applyNumberFormat="1" applyFont="1" applyBorder="1" applyAlignment="1">
      <alignment horizontal="center"/>
    </xf>
    <xf numFmtId="164" fontId="4" fillId="3" borderId="1" xfId="0" applyNumberFormat="1" applyFont="1" applyFill="1" applyBorder="1" applyAlignment="1">
      <alignment horizontal="center"/>
    </xf>
    <xf numFmtId="0" fontId="4" fillId="0" borderId="1" xfId="0" applyFont="1" applyBorder="1" applyAlignment="1">
      <alignment horizontal="center"/>
    </xf>
    <xf numFmtId="164" fontId="4" fillId="4" borderId="1" xfId="0" applyNumberFormat="1" applyFont="1" applyFill="1" applyBorder="1" applyAlignment="1">
      <alignment horizontal="center"/>
    </xf>
    <xf numFmtId="0" fontId="6" fillId="0" borderId="1" xfId="0" applyFont="1" applyBorder="1"/>
    <xf numFmtId="0" fontId="0" fillId="0" borderId="1" xfId="0" applyBorder="1"/>
    <xf numFmtId="164" fontId="6" fillId="0" borderId="1" xfId="0" applyNumberFormat="1" applyFont="1" applyBorder="1" applyAlignment="1">
      <alignment horizontal="center"/>
    </xf>
    <xf numFmtId="0" fontId="7" fillId="0" borderId="0" xfId="0" applyFont="1"/>
    <xf numFmtId="0" fontId="10" fillId="0" borderId="0" xfId="0" applyFont="1" applyAlignment="1">
      <alignment vertical="top" wrapText="1"/>
    </xf>
    <xf numFmtId="0" fontId="4" fillId="0" borderId="0" xfId="0" applyFont="1" applyAlignment="1">
      <alignment vertical="top" wrapText="1"/>
    </xf>
    <xf numFmtId="0" fontId="1" fillId="0" borderId="0" xfId="0" applyFont="1"/>
    <xf numFmtId="0" fontId="9" fillId="0" borderId="0" xfId="0" applyFont="1"/>
    <xf numFmtId="0" fontId="2"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
  <sheetViews>
    <sheetView tabSelected="1" zoomScaleNormal="100" workbookViewId="0">
      <selection activeCell="A18" sqref="A18:F18"/>
    </sheetView>
  </sheetViews>
  <sheetFormatPr defaultColWidth="8.6640625" defaultRowHeight="14.4" x14ac:dyDescent="0.3"/>
  <cols>
    <col min="1" max="1" width="24" customWidth="1"/>
    <col min="2" max="2" width="13" customWidth="1"/>
    <col min="3" max="4" width="20" customWidth="1"/>
    <col min="5" max="5" width="14" customWidth="1"/>
    <col min="6" max="6" width="26" customWidth="1"/>
  </cols>
  <sheetData>
    <row r="1" spans="1:6" ht="17.399999999999999" x14ac:dyDescent="0.3">
      <c r="A1" s="13" t="s">
        <v>0</v>
      </c>
      <c r="B1" s="13"/>
      <c r="C1" s="13"/>
      <c r="D1" s="13"/>
      <c r="E1" s="13"/>
      <c r="F1" s="13"/>
    </row>
    <row r="2" spans="1:6" x14ac:dyDescent="0.3">
      <c r="A2" s="14" t="s">
        <v>1</v>
      </c>
      <c r="B2" s="15"/>
      <c r="C2" s="15"/>
      <c r="D2" s="15"/>
      <c r="E2" s="15"/>
      <c r="F2" s="15"/>
    </row>
    <row r="4" spans="1:6" ht="26.4" x14ac:dyDescent="0.3">
      <c r="A4" s="1" t="s">
        <v>2</v>
      </c>
      <c r="B4" s="1" t="s">
        <v>3</v>
      </c>
      <c r="C4" s="1" t="s">
        <v>4</v>
      </c>
      <c r="D4" s="1" t="s">
        <v>5</v>
      </c>
      <c r="E4" s="1" t="s">
        <v>6</v>
      </c>
      <c r="F4" s="1" t="s">
        <v>7</v>
      </c>
    </row>
    <row r="5" spans="1:6" x14ac:dyDescent="0.3">
      <c r="A5" s="2" t="s">
        <v>21</v>
      </c>
      <c r="B5" s="2" t="s">
        <v>14</v>
      </c>
      <c r="C5" s="3">
        <v>100000</v>
      </c>
      <c r="D5" s="3">
        <v>100000</v>
      </c>
      <c r="E5" s="4">
        <f t="shared" ref="E5:E11" si="0">D5-C5</f>
        <v>0</v>
      </c>
      <c r="F5" s="5" t="str">
        <f t="shared" ref="F5:F11" si="1">IF(E5=0,"Matched",IF(E5&lt;0,"Under-claimed - follow up","Over-claimed - needs reversal"))</f>
        <v>Matched</v>
      </c>
    </row>
    <row r="6" spans="1:6" x14ac:dyDescent="0.3">
      <c r="A6" s="2" t="s">
        <v>22</v>
      </c>
      <c r="B6" s="2" t="s">
        <v>15</v>
      </c>
      <c r="C6" s="3">
        <v>77300</v>
      </c>
      <c r="D6" s="3">
        <v>77300</v>
      </c>
      <c r="E6" s="4">
        <f t="shared" si="0"/>
        <v>0</v>
      </c>
      <c r="F6" s="5" t="str">
        <f t="shared" si="1"/>
        <v>Matched</v>
      </c>
    </row>
    <row r="7" spans="1:6" x14ac:dyDescent="0.3">
      <c r="A7" s="2" t="s">
        <v>23</v>
      </c>
      <c r="B7" s="2" t="s">
        <v>16</v>
      </c>
      <c r="C7" s="3">
        <v>40100</v>
      </c>
      <c r="D7" s="3">
        <v>33100</v>
      </c>
      <c r="E7" s="6">
        <f t="shared" si="0"/>
        <v>-7000</v>
      </c>
      <c r="F7" s="5" t="str">
        <f t="shared" si="1"/>
        <v>Under-claimed - follow up</v>
      </c>
    </row>
    <row r="8" spans="1:6" x14ac:dyDescent="0.3">
      <c r="A8" s="2" t="s">
        <v>24</v>
      </c>
      <c r="B8" s="2" t="s">
        <v>17</v>
      </c>
      <c r="C8" s="3">
        <v>34000</v>
      </c>
      <c r="D8" s="3">
        <v>34000</v>
      </c>
      <c r="E8" s="4">
        <f t="shared" si="0"/>
        <v>0</v>
      </c>
      <c r="F8" s="5" t="str">
        <f t="shared" si="1"/>
        <v>Matched</v>
      </c>
    </row>
    <row r="9" spans="1:6" x14ac:dyDescent="0.3">
      <c r="A9" s="2" t="s">
        <v>8</v>
      </c>
      <c r="B9" s="2" t="s">
        <v>18</v>
      </c>
      <c r="C9" s="3">
        <v>75500</v>
      </c>
      <c r="D9" s="3">
        <v>0</v>
      </c>
      <c r="E9" s="6">
        <f t="shared" si="0"/>
        <v>-75500</v>
      </c>
      <c r="F9" s="5" t="str">
        <f>IF(E9=0,"Matched",IF(E9&lt;0,"Under-claimed - follow up","Over-claimed - needs reversal"))</f>
        <v>Under-claimed - follow up</v>
      </c>
    </row>
    <row r="10" spans="1:6" x14ac:dyDescent="0.3">
      <c r="A10" s="2" t="s">
        <v>25</v>
      </c>
      <c r="B10" s="2" t="s">
        <v>19</v>
      </c>
      <c r="C10" s="3">
        <v>17100</v>
      </c>
      <c r="D10" s="3">
        <v>17100</v>
      </c>
      <c r="E10" s="4">
        <f t="shared" si="0"/>
        <v>0</v>
      </c>
      <c r="F10" s="5" t="str">
        <f t="shared" si="1"/>
        <v>Matched</v>
      </c>
    </row>
    <row r="11" spans="1:6" x14ac:dyDescent="0.3">
      <c r="A11" s="2" t="s">
        <v>26</v>
      </c>
      <c r="B11" s="2" t="s">
        <v>20</v>
      </c>
      <c r="C11" s="3">
        <v>47000</v>
      </c>
      <c r="D11" s="3">
        <v>51300</v>
      </c>
      <c r="E11" s="6">
        <f t="shared" si="0"/>
        <v>4300</v>
      </c>
      <c r="F11" s="5" t="str">
        <f>IF(E11=0,"Matched",IF(E11&lt;0,"Under-claimed - follow up","Over-claimed - needs reversal"))</f>
        <v>Over-claimed - needs reversal</v>
      </c>
    </row>
    <row r="12" spans="1:6" x14ac:dyDescent="0.3">
      <c r="A12" s="7" t="s">
        <v>9</v>
      </c>
      <c r="B12" s="8"/>
      <c r="C12" s="9">
        <f>SUM(C5:C11)</f>
        <v>391000</v>
      </c>
      <c r="D12" s="9">
        <f>SUM(D5:D11)</f>
        <v>312800</v>
      </c>
      <c r="E12" s="9">
        <f>SUM(E5:E11)</f>
        <v>-78200</v>
      </c>
    </row>
    <row r="14" spans="1:6" x14ac:dyDescent="0.3">
      <c r="A14" s="10" t="s">
        <v>10</v>
      </c>
    </row>
    <row r="15" spans="1:6" ht="27.75" customHeight="1" x14ac:dyDescent="0.3">
      <c r="A15" s="12" t="s">
        <v>13</v>
      </c>
      <c r="B15" s="12"/>
      <c r="C15" s="12"/>
      <c r="D15" s="12"/>
      <c r="E15" s="12"/>
      <c r="F15" s="12"/>
    </row>
    <row r="16" spans="1:6" ht="27.75" customHeight="1" x14ac:dyDescent="0.3">
      <c r="A16" s="12" t="s">
        <v>12</v>
      </c>
      <c r="B16" s="12"/>
      <c r="C16" s="12"/>
      <c r="D16" s="12"/>
      <c r="E16" s="12"/>
      <c r="F16" s="12"/>
    </row>
    <row r="17" spans="1:6" ht="27.75" customHeight="1" x14ac:dyDescent="0.3">
      <c r="A17" s="12" t="s">
        <v>11</v>
      </c>
      <c r="B17" s="12"/>
      <c r="C17" s="12"/>
      <c r="D17" s="12"/>
      <c r="E17" s="12"/>
      <c r="F17" s="12"/>
    </row>
    <row r="18" spans="1:6" ht="42.6" customHeight="1" x14ac:dyDescent="0.3">
      <c r="A18" s="11" t="s">
        <v>27</v>
      </c>
      <c r="B18" s="12"/>
      <c r="C18" s="12"/>
      <c r="D18" s="12"/>
      <c r="E18" s="12"/>
      <c r="F18" s="12"/>
    </row>
  </sheetData>
  <mergeCells count="6">
    <mergeCell ref="A18:F18"/>
    <mergeCell ref="A1:F1"/>
    <mergeCell ref="A2:F2"/>
    <mergeCell ref="A15:F15"/>
    <mergeCell ref="A16:F16"/>
    <mergeCell ref="A17:F17"/>
  </mergeCells>
  <phoneticPr fontId="8" type="noConversion"/>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GST ITC Reconciliation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Argha Kamal Das</cp:lastModifiedBy>
  <cp:revision>0</cp:revision>
  <dcterms:created xsi:type="dcterms:W3CDTF">2026-07-02T06:23:25Z</dcterms:created>
  <dcterms:modified xsi:type="dcterms:W3CDTF">2026-07-02T12:05:57Z</dcterms:modified>
  <dc:language>en-US</dc:language>
</cp:coreProperties>
</file>